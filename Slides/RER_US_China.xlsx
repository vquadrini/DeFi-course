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scmsb-my.sharepoint.com/personal/quadrini_marshall_usc_edu/Documents/Docum/Courses-2025/ECON 352/Slides/Part III/5.ExchangeMarket/"/>
    </mc:Choice>
  </mc:AlternateContent>
  <xr:revisionPtr revIDLastSave="28" documentId="13_ncr:1_{D36AD050-7627-4476-BE72-725A82C755C9}" xr6:coauthVersionLast="47" xr6:coauthVersionMax="47" xr10:uidLastSave="{8DCE7D6A-C979-426E-A089-A46C071BD638}"/>
  <bookViews>
    <workbookView xWindow="-90" yWindow="-90" windowWidth="19380" windowHeight="11460" xr2:uid="{00000000-000D-0000-FFFF-FFFF00000000}"/>
  </bookViews>
  <sheets>
    <sheet name="US-China 1990-2020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5" i="8" l="1"/>
  <c r="H35" i="8"/>
  <c r="A35" i="8"/>
  <c r="E35" i="8"/>
  <c r="F35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F15" i="8" s="1"/>
  <c r="I15" i="8" s="1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F32" i="8" s="1"/>
  <c r="I32" i="8" s="1"/>
  <c r="E33" i="8"/>
  <c r="F33" i="8" s="1"/>
  <c r="I33" i="8" s="1"/>
  <c r="E34" i="8"/>
  <c r="H34" i="8"/>
  <c r="H33" i="8"/>
  <c r="H32" i="8"/>
  <c r="A33" i="8"/>
  <c r="A34" i="8" s="1"/>
  <c r="A32" i="8"/>
  <c r="F34" i="8"/>
  <c r="I34" i="8" s="1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F7" i="8" l="1"/>
  <c r="I7" i="8" s="1"/>
  <c r="F14" i="8"/>
  <c r="I14" i="8" s="1"/>
  <c r="F12" i="8"/>
  <c r="I12" i="8" s="1"/>
  <c r="F11" i="8"/>
  <c r="I11" i="8" s="1"/>
  <c r="F3" i="8"/>
  <c r="I3" i="8" s="1"/>
  <c r="F8" i="8"/>
  <c r="I8" i="8" s="1"/>
  <c r="F31" i="8"/>
  <c r="I31" i="8" s="1"/>
  <c r="F30" i="8"/>
  <c r="I30" i="8" s="1"/>
  <c r="F22" i="8"/>
  <c r="I22" i="8" s="1"/>
  <c r="F6" i="8"/>
  <c r="I6" i="8" s="1"/>
  <c r="F4" i="8"/>
  <c r="I4" i="8" s="1"/>
  <c r="F20" i="8"/>
  <c r="I20" i="8" s="1"/>
  <c r="F28" i="8"/>
  <c r="I28" i="8" s="1"/>
  <c r="F27" i="8"/>
  <c r="I27" i="8" s="1"/>
  <c r="F19" i="8"/>
  <c r="I19" i="8" s="1"/>
  <c r="F18" i="8"/>
  <c r="I18" i="8" s="1"/>
  <c r="F2" i="8"/>
  <c r="I2" i="8" s="1"/>
  <c r="F26" i="8"/>
  <c r="I26" i="8" s="1"/>
  <c r="F17" i="8"/>
  <c r="I17" i="8" s="1"/>
  <c r="F10" i="8"/>
  <c r="I10" i="8" s="1"/>
  <c r="F9" i="8"/>
  <c r="I9" i="8" s="1"/>
  <c r="F23" i="8"/>
  <c r="I23" i="8" s="1"/>
  <c r="F25" i="8"/>
  <c r="I25" i="8" s="1"/>
  <c r="F24" i="8"/>
  <c r="I24" i="8" s="1"/>
  <c r="F16" i="8"/>
  <c r="I16" i="8" s="1"/>
  <c r="F21" i="8"/>
  <c r="I21" i="8" s="1"/>
  <c r="F13" i="8"/>
  <c r="I13" i="8" s="1"/>
  <c r="F5" i="8"/>
  <c r="I5" i="8" s="1"/>
  <c r="F29" i="8"/>
  <c r="I29" i="8" s="1"/>
  <c r="A3" i="8"/>
  <c r="A4" i="8" l="1"/>
  <c r="A5" i="8" l="1"/>
  <c r="A6" i="8" l="1"/>
  <c r="A7" i="8" l="1"/>
  <c r="A8" i="8" l="1"/>
  <c r="A9" i="8" l="1"/>
  <c r="A10" i="8" l="1"/>
  <c r="A11" i="8" l="1"/>
  <c r="A12" i="8" l="1"/>
  <c r="A13" i="8" l="1"/>
  <c r="A14" i="8" l="1"/>
  <c r="A15" i="8" l="1"/>
  <c r="A16" i="8" l="1"/>
  <c r="A17" i="8" l="1"/>
  <c r="A18" i="8" l="1"/>
  <c r="A19" i="8" l="1"/>
  <c r="A20" i="8" l="1"/>
  <c r="A21" i="8" l="1"/>
  <c r="A22" i="8" l="1"/>
  <c r="A23" i="8" l="1"/>
  <c r="A24" i="8" l="1"/>
  <c r="A25" i="8" l="1"/>
  <c r="A26" i="8" l="1"/>
  <c r="A27" i="8" l="1"/>
  <c r="A28" i="8" l="1"/>
  <c r="A29" i="8" l="1"/>
  <c r="A30" i="8" l="1"/>
  <c r="A31" i="8" l="1"/>
</calcChain>
</file>

<file path=xl/sharedStrings.xml><?xml version="1.0" encoding="utf-8"?>
<sst xmlns="http://schemas.openxmlformats.org/spreadsheetml/2006/main" count="7" uniqueCount="7">
  <si>
    <t>YEAR</t>
  </si>
  <si>
    <t>Ex.Rate (Yuan/$)</t>
  </si>
  <si>
    <t>CPI United States</t>
  </si>
  <si>
    <t>CPI China</t>
  </si>
  <si>
    <t>Real Ex.Rate , RER</t>
  </si>
  <si>
    <t>RER, Normalized</t>
  </si>
  <si>
    <t>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</si>
</sst>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2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/>
    <xf numFmtId="1" fontId="1" fillId="3" borderId="0" xfId="0" applyNumberFormat="1" applyFont="1" applyFill="1"/>
    <xf numFmtId="2" fontId="1" fillId="3" borderId="0" xfId="0" applyNumberFormat="1" applyFont="1" applyFill="1"/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6045-745A-4BD8-B61B-A5EA391A6DDC}">
  <dimension ref="A1:L35"/>
  <sheetViews>
    <sheetView tabSelected="1" topLeftCell="A8" workbookViewId="0">
      <selection activeCell="K20" sqref="K20"/>
    </sheetView>
  </sheetViews>
  <sheetFormatPr defaultRowHeight="14.75" x14ac:dyDescent="0.75"/>
  <cols>
    <col min="1" max="1" width="8.81640625" style="3"/>
    <col min="2" max="6" width="18.7265625" style="1" customWidth="1"/>
    <col min="7" max="7" width="8.81640625" style="1"/>
    <col min="8" max="8" width="8.81640625" style="9"/>
    <col min="9" max="9" width="8.81640625" style="10"/>
  </cols>
  <sheetData>
    <row r="1" spans="1:12" s="5" customFormat="1" ht="27.65" customHeight="1" x14ac:dyDescent="0.75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/>
      <c r="H1" s="13"/>
      <c r="I1" s="14" t="s">
        <v>6</v>
      </c>
    </row>
    <row r="2" spans="1:12" x14ac:dyDescent="0.75">
      <c r="A2" s="2">
        <v>1991</v>
      </c>
      <c r="B2" s="1">
        <v>5.3233916666666703</v>
      </c>
      <c r="C2" s="1">
        <v>62.457340753462603</v>
      </c>
      <c r="D2" s="1">
        <v>41.878596268982299</v>
      </c>
      <c r="E2" s="1">
        <f t="shared" ref="E2:E35" si="0">B2*C2/D2</f>
        <v>7.9392557752801496</v>
      </c>
      <c r="F2" s="8">
        <f>E2/E$2</f>
        <v>1</v>
      </c>
      <c r="G2"/>
      <c r="H2" s="11">
        <f t="shared" ref="H2:H35" si="1">A2</f>
        <v>1991</v>
      </c>
      <c r="I2" s="12">
        <f t="shared" ref="I2:I35" si="2">F2</f>
        <v>1</v>
      </c>
      <c r="J2" s="1"/>
      <c r="K2" s="1"/>
      <c r="L2" s="1"/>
    </row>
    <row r="3" spans="1:12" x14ac:dyDescent="0.75">
      <c r="A3" s="2">
        <f t="shared" ref="A3:A35" si="3">A2+1</f>
        <v>1992</v>
      </c>
      <c r="B3" s="1">
        <v>5.5145916666666697</v>
      </c>
      <c r="C3" s="1">
        <v>64.349060980652496</v>
      </c>
      <c r="D3" s="1">
        <v>44.539554461471603</v>
      </c>
      <c r="E3" s="1">
        <f t="shared" si="0"/>
        <v>7.9672731290722245</v>
      </c>
      <c r="F3" s="8">
        <f t="shared" ref="F3:F35" si="4">E3/E$2</f>
        <v>1.0035289647525036</v>
      </c>
      <c r="G3"/>
      <c r="H3" s="11">
        <f t="shared" si="1"/>
        <v>1992</v>
      </c>
      <c r="I3" s="12">
        <f t="shared" si="2"/>
        <v>1.0035289647525036</v>
      </c>
      <c r="J3" s="1"/>
      <c r="K3" s="1"/>
      <c r="L3" s="1"/>
    </row>
    <row r="4" spans="1:12" x14ac:dyDescent="0.75">
      <c r="A4" s="2">
        <f t="shared" si="3"/>
        <v>1993</v>
      </c>
      <c r="B4" s="1">
        <v>5.7619583333333297</v>
      </c>
      <c r="C4" s="1">
        <v>66.248424521891593</v>
      </c>
      <c r="D4" s="1">
        <v>51.046818392265301</v>
      </c>
      <c r="E4" s="1">
        <f t="shared" si="0"/>
        <v>7.4778541301206012</v>
      </c>
      <c r="F4" s="8">
        <f t="shared" si="4"/>
        <v>0.94188351424623717</v>
      </c>
      <c r="G4"/>
      <c r="H4" s="11">
        <f t="shared" si="1"/>
        <v>1993</v>
      </c>
      <c r="I4" s="12">
        <f t="shared" si="2"/>
        <v>0.94188351424623717</v>
      </c>
      <c r="J4" s="1"/>
      <c r="K4" s="1"/>
      <c r="L4" s="1"/>
    </row>
    <row r="5" spans="1:12" x14ac:dyDescent="0.75">
      <c r="A5" s="2">
        <f t="shared" si="3"/>
        <v>1994</v>
      </c>
      <c r="B5" s="1">
        <v>8.6187426666666695</v>
      </c>
      <c r="C5" s="1">
        <v>67.9758134970225</v>
      </c>
      <c r="D5" s="1">
        <v>63.4292398842776</v>
      </c>
      <c r="E5" s="1">
        <f t="shared" si="0"/>
        <v>9.2365294800479596</v>
      </c>
      <c r="F5" s="8">
        <f t="shared" si="4"/>
        <v>1.1633999132270094</v>
      </c>
      <c r="G5"/>
      <c r="H5" s="11">
        <f t="shared" si="1"/>
        <v>1994</v>
      </c>
      <c r="I5" s="12">
        <f t="shared" si="2"/>
        <v>1.1633999132270094</v>
      </c>
      <c r="J5" s="1"/>
      <c r="K5" s="1"/>
      <c r="L5" s="1"/>
    </row>
    <row r="6" spans="1:12" x14ac:dyDescent="0.75">
      <c r="A6" s="2">
        <f t="shared" si="3"/>
        <v>1995</v>
      </c>
      <c r="B6" s="1">
        <v>8.3514166666666707</v>
      </c>
      <c r="C6" s="1">
        <v>69.882820352310901</v>
      </c>
      <c r="D6" s="1">
        <v>74.079786373752697</v>
      </c>
      <c r="E6" s="1">
        <f t="shared" si="0"/>
        <v>7.8782698921327539</v>
      </c>
      <c r="F6" s="8">
        <f t="shared" si="4"/>
        <v>0.99231843829275757</v>
      </c>
      <c r="G6"/>
      <c r="H6" s="11">
        <f t="shared" si="1"/>
        <v>1995</v>
      </c>
      <c r="I6" s="12">
        <f t="shared" si="2"/>
        <v>0.99231843829275757</v>
      </c>
      <c r="J6" s="1"/>
      <c r="K6" s="1"/>
      <c r="L6" s="1"/>
    </row>
    <row r="7" spans="1:12" x14ac:dyDescent="0.75">
      <c r="A7" s="2">
        <f t="shared" si="3"/>
        <v>1996</v>
      </c>
      <c r="B7" s="1">
        <v>8.3141750000000005</v>
      </c>
      <c r="C7" s="1">
        <v>71.931228517510505</v>
      </c>
      <c r="D7" s="1">
        <v>80.238157756706499</v>
      </c>
      <c r="E7" s="1">
        <f t="shared" si="0"/>
        <v>7.4534216460071532</v>
      </c>
      <c r="F7" s="8">
        <f t="shared" si="4"/>
        <v>0.93880608673854538</v>
      </c>
      <c r="G7"/>
      <c r="H7" s="11">
        <f t="shared" si="1"/>
        <v>1996</v>
      </c>
      <c r="I7" s="12">
        <f t="shared" si="2"/>
        <v>0.93880608673854538</v>
      </c>
      <c r="J7" s="1"/>
      <c r="K7" s="1"/>
      <c r="L7" s="1"/>
    </row>
    <row r="8" spans="1:12" x14ac:dyDescent="0.75">
      <c r="A8" s="2">
        <f t="shared" si="3"/>
        <v>1997</v>
      </c>
      <c r="B8" s="1">
        <v>8.2898166666666704</v>
      </c>
      <c r="C8" s="1">
        <v>73.612757608345902</v>
      </c>
      <c r="D8" s="1">
        <v>82.473965983628702</v>
      </c>
      <c r="E8" s="1">
        <f t="shared" si="0"/>
        <v>7.3991381113173711</v>
      </c>
      <c r="F8" s="8">
        <f t="shared" si="4"/>
        <v>0.93196872865029723</v>
      </c>
      <c r="G8"/>
      <c r="H8" s="11">
        <f t="shared" si="1"/>
        <v>1997</v>
      </c>
      <c r="I8" s="12">
        <f t="shared" si="2"/>
        <v>0.93196872865029723</v>
      </c>
      <c r="J8" s="1"/>
      <c r="K8" s="1"/>
      <c r="L8" s="1"/>
    </row>
    <row r="9" spans="1:12" x14ac:dyDescent="0.75">
      <c r="A9" s="2">
        <f t="shared" si="3"/>
        <v>1998</v>
      </c>
      <c r="B9" s="1">
        <v>8.2789583333333301</v>
      </c>
      <c r="C9" s="1">
        <v>74.755433058709002</v>
      </c>
      <c r="D9" s="1">
        <v>81.836288815473296</v>
      </c>
      <c r="E9" s="1">
        <f t="shared" si="0"/>
        <v>7.5626244107775582</v>
      </c>
      <c r="F9" s="8">
        <f t="shared" si="4"/>
        <v>0.95256087281187241</v>
      </c>
      <c r="G9"/>
      <c r="H9" s="11">
        <f t="shared" si="1"/>
        <v>1998</v>
      </c>
      <c r="I9" s="12">
        <f t="shared" si="2"/>
        <v>0.95256087281187241</v>
      </c>
      <c r="J9" s="1"/>
      <c r="K9" s="1"/>
      <c r="L9" s="1"/>
    </row>
    <row r="10" spans="1:12" x14ac:dyDescent="0.75">
      <c r="A10" s="2">
        <f t="shared" si="3"/>
        <v>1999</v>
      </c>
      <c r="B10" s="1">
        <v>8.2782499999999999</v>
      </c>
      <c r="C10" s="1">
        <v>76.391102265249003</v>
      </c>
      <c r="D10" s="1">
        <v>80.689375583136098</v>
      </c>
      <c r="E10" s="1">
        <f t="shared" si="0"/>
        <v>7.8372727234174384</v>
      </c>
      <c r="F10" s="8">
        <f t="shared" si="4"/>
        <v>0.98715458290432612</v>
      </c>
      <c r="G10"/>
      <c r="H10" s="11">
        <f t="shared" si="1"/>
        <v>1999</v>
      </c>
      <c r="I10" s="12">
        <f t="shared" si="2"/>
        <v>0.98715458290432612</v>
      </c>
      <c r="J10" s="1"/>
      <c r="K10" s="1"/>
      <c r="L10" s="1"/>
    </row>
    <row r="11" spans="1:12" x14ac:dyDescent="0.75">
      <c r="A11" s="2">
        <f t="shared" si="3"/>
        <v>2000</v>
      </c>
      <c r="B11" s="1">
        <v>8.2785041666666697</v>
      </c>
      <c r="C11" s="1">
        <v>78.970720756871501</v>
      </c>
      <c r="D11" s="1">
        <v>80.970022290301102</v>
      </c>
      <c r="E11" s="1">
        <f t="shared" si="0"/>
        <v>8.0740923904715363</v>
      </c>
      <c r="F11" s="8">
        <f t="shared" si="4"/>
        <v>1.0169835333446766</v>
      </c>
      <c r="G11"/>
      <c r="H11" s="11">
        <f t="shared" si="1"/>
        <v>2000</v>
      </c>
      <c r="I11" s="12">
        <f t="shared" si="2"/>
        <v>1.0169835333446766</v>
      </c>
      <c r="J11" s="1"/>
      <c r="K11" s="1"/>
      <c r="L11" s="1"/>
    </row>
    <row r="12" spans="1:12" x14ac:dyDescent="0.75">
      <c r="A12" s="2">
        <f t="shared" si="3"/>
        <v>2001</v>
      </c>
      <c r="B12" s="1">
        <v>8.2770683333333306</v>
      </c>
      <c r="C12" s="1">
        <v>81.202568459253101</v>
      </c>
      <c r="D12" s="1">
        <v>81.552298456301003</v>
      </c>
      <c r="E12" s="1">
        <f t="shared" si="0"/>
        <v>8.2415728397840819</v>
      </c>
      <c r="F12" s="8">
        <f t="shared" si="4"/>
        <v>1.0380787662044135</v>
      </c>
      <c r="G12"/>
      <c r="H12" s="11">
        <f t="shared" si="1"/>
        <v>2001</v>
      </c>
      <c r="I12" s="12">
        <f t="shared" si="2"/>
        <v>1.0380787662044135</v>
      </c>
      <c r="J12" s="1"/>
      <c r="K12" s="1"/>
      <c r="L12" s="1"/>
    </row>
    <row r="13" spans="1:12" x14ac:dyDescent="0.75">
      <c r="A13" s="2">
        <f t="shared" si="3"/>
        <v>2002</v>
      </c>
      <c r="B13" s="1">
        <v>8.2769575</v>
      </c>
      <c r="C13" s="1">
        <v>82.490466876552006</v>
      </c>
      <c r="D13" s="1">
        <v>80.955359361402998</v>
      </c>
      <c r="E13" s="1">
        <f t="shared" si="0"/>
        <v>8.4339084389007386</v>
      </c>
      <c r="F13" s="8">
        <f t="shared" si="4"/>
        <v>1.0623046640165885</v>
      </c>
      <c r="G13"/>
      <c r="H13" s="11">
        <f t="shared" si="1"/>
        <v>2002</v>
      </c>
      <c r="I13" s="12">
        <f t="shared" si="2"/>
        <v>1.0623046640165885</v>
      </c>
      <c r="J13" s="1"/>
      <c r="K13" s="1"/>
      <c r="L13" s="1"/>
    </row>
    <row r="14" spans="1:12" x14ac:dyDescent="0.75">
      <c r="A14" s="2">
        <f t="shared" si="3"/>
        <v>2003</v>
      </c>
      <c r="B14" s="1">
        <v>8.2770366666666693</v>
      </c>
      <c r="C14" s="1">
        <v>84.363078818618803</v>
      </c>
      <c r="D14" s="1">
        <v>81.868214816715493</v>
      </c>
      <c r="E14" s="1">
        <f t="shared" si="0"/>
        <v>8.5292722976539981</v>
      </c>
      <c r="F14" s="8">
        <f t="shared" si="4"/>
        <v>1.0743163514407656</v>
      </c>
      <c r="G14"/>
      <c r="H14" s="11">
        <f t="shared" si="1"/>
        <v>2003</v>
      </c>
      <c r="I14" s="12">
        <f t="shared" si="2"/>
        <v>1.0743163514407656</v>
      </c>
      <c r="J14" s="1"/>
      <c r="K14" s="1"/>
      <c r="L14" s="1"/>
    </row>
    <row r="15" spans="1:12" x14ac:dyDescent="0.75">
      <c r="A15" s="2">
        <f t="shared" si="3"/>
        <v>2004</v>
      </c>
      <c r="B15" s="1">
        <v>8.2768008333333292</v>
      </c>
      <c r="C15" s="1">
        <v>86.621678120172703</v>
      </c>
      <c r="D15" s="1">
        <v>84.999377204753898</v>
      </c>
      <c r="E15" s="1">
        <f t="shared" si="0"/>
        <v>8.4347721268912874</v>
      </c>
      <c r="F15" s="8">
        <f t="shared" si="4"/>
        <v>1.0624134510383187</v>
      </c>
      <c r="G15"/>
      <c r="H15" s="11">
        <f t="shared" si="1"/>
        <v>2004</v>
      </c>
      <c r="I15" s="12">
        <f t="shared" si="2"/>
        <v>1.0624134510383187</v>
      </c>
      <c r="J15" s="1"/>
      <c r="K15" s="1"/>
      <c r="L15" s="1"/>
    </row>
    <row r="16" spans="1:12" x14ac:dyDescent="0.75">
      <c r="A16" s="2">
        <f t="shared" si="3"/>
        <v>2005</v>
      </c>
      <c r="B16" s="1">
        <v>8.1943166666666691</v>
      </c>
      <c r="C16" s="1">
        <v>89.560532372110202</v>
      </c>
      <c r="D16" s="1">
        <v>86.509318106505802</v>
      </c>
      <c r="E16" s="1">
        <f t="shared" si="0"/>
        <v>8.4833331155009013</v>
      </c>
      <c r="F16" s="8">
        <f t="shared" si="4"/>
        <v>1.0685300178783512</v>
      </c>
      <c r="G16"/>
      <c r="H16" s="11">
        <f t="shared" si="1"/>
        <v>2005</v>
      </c>
      <c r="I16" s="12">
        <f t="shared" si="2"/>
        <v>1.0685300178783512</v>
      </c>
      <c r="J16" s="1"/>
      <c r="K16" s="1"/>
      <c r="L16" s="1"/>
    </row>
    <row r="17" spans="1:12" x14ac:dyDescent="0.75">
      <c r="A17" s="2">
        <f t="shared" si="3"/>
        <v>2006</v>
      </c>
      <c r="B17" s="1">
        <v>7.9734383333333296</v>
      </c>
      <c r="C17" s="1">
        <v>92.449705082727405</v>
      </c>
      <c r="D17" s="1">
        <v>87.936229612535797</v>
      </c>
      <c r="E17" s="1">
        <f t="shared" si="0"/>
        <v>8.3826885193960621</v>
      </c>
      <c r="F17" s="8">
        <f t="shared" si="4"/>
        <v>1.055853187838663</v>
      </c>
      <c r="G17"/>
      <c r="H17" s="11">
        <f t="shared" si="1"/>
        <v>2006</v>
      </c>
      <c r="I17" s="12">
        <f t="shared" si="2"/>
        <v>1.055853187838663</v>
      </c>
      <c r="J17" s="1"/>
      <c r="K17" s="1"/>
      <c r="L17" s="1"/>
    </row>
    <row r="18" spans="1:12" x14ac:dyDescent="0.75">
      <c r="A18" s="2">
        <f t="shared" si="3"/>
        <v>2007</v>
      </c>
      <c r="B18" s="1">
        <v>7.6075324999999996</v>
      </c>
      <c r="C18" s="1">
        <v>95.086992378851505</v>
      </c>
      <c r="D18" s="1">
        <v>92.171913494060703</v>
      </c>
      <c r="E18" s="1">
        <f t="shared" si="0"/>
        <v>7.8481324454219719</v>
      </c>
      <c r="F18" s="8">
        <f t="shared" si="4"/>
        <v>0.98852243428887865</v>
      </c>
      <c r="G18"/>
      <c r="H18" s="11">
        <f t="shared" si="1"/>
        <v>2007</v>
      </c>
      <c r="I18" s="12">
        <f t="shared" si="2"/>
        <v>0.98852243428887865</v>
      </c>
      <c r="J18" s="1"/>
      <c r="K18" s="1"/>
      <c r="L18" s="1"/>
    </row>
    <row r="19" spans="1:12" x14ac:dyDescent="0.75">
      <c r="A19" s="2">
        <f t="shared" si="3"/>
        <v>2008</v>
      </c>
      <c r="B19" s="1">
        <v>6.9486549999999996</v>
      </c>
      <c r="C19" s="1">
        <v>98.737477385344505</v>
      </c>
      <c r="D19" s="1">
        <v>97.633331061501593</v>
      </c>
      <c r="E19" s="1">
        <f t="shared" si="0"/>
        <v>7.0272381210559605</v>
      </c>
      <c r="F19" s="8">
        <f t="shared" si="4"/>
        <v>0.88512554828327006</v>
      </c>
      <c r="G19"/>
      <c r="H19" s="11">
        <f t="shared" si="1"/>
        <v>2008</v>
      </c>
      <c r="I19" s="12">
        <f t="shared" si="2"/>
        <v>0.88512554828327006</v>
      </c>
      <c r="J19" s="1"/>
      <c r="K19" s="1"/>
      <c r="L19" s="1"/>
    </row>
    <row r="20" spans="1:12" x14ac:dyDescent="0.75">
      <c r="A20" s="2">
        <f t="shared" si="3"/>
        <v>2009</v>
      </c>
      <c r="B20" s="1">
        <v>6.8314160517666602</v>
      </c>
      <c r="C20" s="1">
        <v>98.386419971062395</v>
      </c>
      <c r="D20" s="1">
        <v>96.922399071383396</v>
      </c>
      <c r="E20" s="1">
        <f t="shared" si="0"/>
        <v>6.93460515944468</v>
      </c>
      <c r="F20" s="8">
        <f t="shared" si="4"/>
        <v>0.87345783480567873</v>
      </c>
      <c r="G20"/>
      <c r="H20" s="11">
        <f t="shared" si="1"/>
        <v>2009</v>
      </c>
      <c r="I20" s="12">
        <f t="shared" si="2"/>
        <v>0.87345783480567873</v>
      </c>
      <c r="J20" s="1"/>
      <c r="K20" s="1"/>
      <c r="L20" s="1"/>
    </row>
    <row r="21" spans="1:12" x14ac:dyDescent="0.75">
      <c r="A21" s="2">
        <f t="shared" si="3"/>
        <v>2010</v>
      </c>
      <c r="B21" s="1">
        <v>6.7702690287094001</v>
      </c>
      <c r="C21" s="1">
        <v>100</v>
      </c>
      <c r="D21" s="1">
        <v>100</v>
      </c>
      <c r="E21" s="1">
        <f t="shared" si="0"/>
        <v>6.7702690287094001</v>
      </c>
      <c r="F21" s="8">
        <f t="shared" si="4"/>
        <v>0.85275864896423492</v>
      </c>
      <c r="G21"/>
      <c r="H21" s="11">
        <f t="shared" si="1"/>
        <v>2010</v>
      </c>
      <c r="I21" s="12">
        <f t="shared" si="2"/>
        <v>0.85275864896423492</v>
      </c>
      <c r="J21" s="1"/>
      <c r="K21" s="1"/>
      <c r="L21" s="1"/>
    </row>
    <row r="22" spans="1:12" x14ac:dyDescent="0.75">
      <c r="A22" s="2">
        <f t="shared" si="3"/>
        <v>2011</v>
      </c>
      <c r="B22" s="1">
        <v>6.4614613265500704</v>
      </c>
      <c r="C22" s="1">
        <v>103.156841568622</v>
      </c>
      <c r="D22" s="1">
        <v>105.553898922575</v>
      </c>
      <c r="E22" s="1">
        <f t="shared" si="0"/>
        <v>6.3147259283489037</v>
      </c>
      <c r="F22" s="8">
        <f t="shared" si="4"/>
        <v>0.79538008436641883</v>
      </c>
      <c r="G22"/>
      <c r="H22" s="11">
        <f t="shared" si="1"/>
        <v>2011</v>
      </c>
      <c r="I22" s="12">
        <f t="shared" si="2"/>
        <v>0.79538008436641883</v>
      </c>
      <c r="J22" s="1"/>
      <c r="K22" s="1"/>
      <c r="L22" s="1"/>
    </row>
    <row r="23" spans="1:12" x14ac:dyDescent="0.75">
      <c r="A23" s="2">
        <f t="shared" si="3"/>
        <v>2012</v>
      </c>
      <c r="B23" s="1">
        <v>6.3123328268318604</v>
      </c>
      <c r="C23" s="1">
        <v>105.29150453286699</v>
      </c>
      <c r="D23" s="1">
        <v>108.318908982374</v>
      </c>
      <c r="E23" s="1">
        <f t="shared" si="0"/>
        <v>6.1359094796411169</v>
      </c>
      <c r="F23" s="8">
        <f t="shared" si="4"/>
        <v>0.7728570099411618</v>
      </c>
      <c r="G23"/>
      <c r="H23" s="11">
        <f t="shared" si="1"/>
        <v>2012</v>
      </c>
      <c r="I23" s="12">
        <f t="shared" si="2"/>
        <v>0.7728570099411618</v>
      </c>
      <c r="J23" s="1"/>
      <c r="K23" s="1"/>
      <c r="L23" s="1"/>
    </row>
    <row r="24" spans="1:12" x14ac:dyDescent="0.75">
      <c r="A24" s="2">
        <f t="shared" si="3"/>
        <v>2013</v>
      </c>
      <c r="B24" s="1">
        <v>6.19575834608231</v>
      </c>
      <c r="C24" s="1">
        <v>106.83384887486601</v>
      </c>
      <c r="D24" s="1">
        <v>111.158001765192</v>
      </c>
      <c r="E24" s="1">
        <f t="shared" si="0"/>
        <v>5.954737403509351</v>
      </c>
      <c r="F24" s="8">
        <f t="shared" si="4"/>
        <v>0.7500372291884283</v>
      </c>
      <c r="G24"/>
      <c r="H24" s="11">
        <f t="shared" si="1"/>
        <v>2013</v>
      </c>
      <c r="I24" s="12">
        <f t="shared" si="2"/>
        <v>0.7500372291884283</v>
      </c>
      <c r="J24" s="1"/>
      <c r="K24" s="1"/>
      <c r="L24" s="1"/>
    </row>
    <row r="25" spans="1:12" x14ac:dyDescent="0.75">
      <c r="A25" s="2">
        <f t="shared" si="3"/>
        <v>2014</v>
      </c>
      <c r="B25" s="1">
        <v>6.1434340944886703</v>
      </c>
      <c r="C25" s="1">
        <v>108.566932118964</v>
      </c>
      <c r="D25" s="1">
        <v>113.29406019983701</v>
      </c>
      <c r="E25" s="1">
        <f t="shared" si="0"/>
        <v>5.8871029172863913</v>
      </c>
      <c r="F25" s="8">
        <f t="shared" si="4"/>
        <v>0.74151823343651568</v>
      </c>
      <c r="G25"/>
      <c r="H25" s="11">
        <f t="shared" si="1"/>
        <v>2014</v>
      </c>
      <c r="I25" s="12">
        <f t="shared" si="2"/>
        <v>0.74151823343651568</v>
      </c>
      <c r="J25" s="1"/>
      <c r="K25" s="1"/>
      <c r="L25" s="1"/>
    </row>
    <row r="26" spans="1:12" x14ac:dyDescent="0.75">
      <c r="A26" s="2">
        <f t="shared" si="3"/>
        <v>2015</v>
      </c>
      <c r="B26" s="1">
        <v>6.22748867298455</v>
      </c>
      <c r="C26" s="1">
        <v>108.695721960694</v>
      </c>
      <c r="D26" s="1">
        <v>114.922122819495</v>
      </c>
      <c r="E26" s="1">
        <f t="shared" si="0"/>
        <v>5.890087658538036</v>
      </c>
      <c r="F26" s="8">
        <f t="shared" si="4"/>
        <v>0.7418941806708822</v>
      </c>
      <c r="G26"/>
      <c r="H26" s="11">
        <f t="shared" si="1"/>
        <v>2015</v>
      </c>
      <c r="I26" s="12">
        <f t="shared" si="2"/>
        <v>0.7418941806708822</v>
      </c>
      <c r="J26" s="1"/>
      <c r="K26" s="1"/>
      <c r="L26" s="1"/>
    </row>
    <row r="27" spans="1:12" x14ac:dyDescent="0.75">
      <c r="A27" s="2">
        <f t="shared" si="3"/>
        <v>2016</v>
      </c>
      <c r="B27" s="1">
        <v>6.6444778294468003</v>
      </c>
      <c r="C27" s="1">
        <v>110.06700893427001</v>
      </c>
      <c r="D27" s="1">
        <v>117.220567369674</v>
      </c>
      <c r="E27" s="1">
        <f t="shared" si="0"/>
        <v>6.2389887459842095</v>
      </c>
      <c r="F27" s="8">
        <f t="shared" si="4"/>
        <v>0.7858405022559003</v>
      </c>
      <c r="G27"/>
      <c r="H27" s="11">
        <f t="shared" si="1"/>
        <v>2016</v>
      </c>
      <c r="I27" s="12">
        <f t="shared" si="2"/>
        <v>0.7858405022559003</v>
      </c>
      <c r="J27" s="1"/>
      <c r="K27" s="1"/>
      <c r="L27" s="1"/>
    </row>
    <row r="28" spans="1:12" x14ac:dyDescent="0.75">
      <c r="A28" s="2">
        <f t="shared" si="3"/>
        <v>2017</v>
      </c>
      <c r="B28" s="1">
        <v>6.7587550863359702</v>
      </c>
      <c r="C28" s="1">
        <v>112.411557302308</v>
      </c>
      <c r="D28" s="1">
        <v>119.088050428682</v>
      </c>
      <c r="E28" s="1">
        <f t="shared" si="0"/>
        <v>6.3798356085686256</v>
      </c>
      <c r="F28" s="8">
        <f t="shared" si="4"/>
        <v>0.80358106466767698</v>
      </c>
      <c r="G28"/>
      <c r="H28" s="11">
        <f t="shared" si="1"/>
        <v>2017</v>
      </c>
      <c r="I28" s="12">
        <f t="shared" si="2"/>
        <v>0.80358106466767698</v>
      </c>
      <c r="J28" s="1"/>
      <c r="K28" s="1"/>
      <c r="L28" s="1"/>
    </row>
    <row r="29" spans="1:12" x14ac:dyDescent="0.75">
      <c r="A29" s="2">
        <f t="shared" si="3"/>
        <v>2018</v>
      </c>
      <c r="B29" s="1">
        <v>6.6159571773543897</v>
      </c>
      <c r="C29" s="1">
        <v>115.15730322479099</v>
      </c>
      <c r="D29" s="1">
        <v>121.55887786611299</v>
      </c>
      <c r="E29" s="1">
        <f t="shared" si="0"/>
        <v>6.2675454081928486</v>
      </c>
      <c r="F29" s="8">
        <f t="shared" si="4"/>
        <v>0.78943739634987231</v>
      </c>
      <c r="G29"/>
      <c r="H29" s="11">
        <f t="shared" si="1"/>
        <v>2018</v>
      </c>
      <c r="I29" s="12">
        <f t="shared" si="2"/>
        <v>0.78943739634987231</v>
      </c>
      <c r="J29" s="1"/>
      <c r="K29" s="1"/>
      <c r="L29" s="1"/>
    </row>
    <row r="30" spans="1:12" x14ac:dyDescent="0.75">
      <c r="A30" s="2">
        <f t="shared" si="3"/>
        <v>2019</v>
      </c>
      <c r="B30" s="1">
        <v>6.9083850099290096</v>
      </c>
      <c r="C30" s="1">
        <v>117.244195476228</v>
      </c>
      <c r="D30" s="1">
        <v>125.08315438207499</v>
      </c>
      <c r="E30" s="1">
        <f t="shared" si="0"/>
        <v>6.4754366527650697</v>
      </c>
      <c r="F30" s="8">
        <f t="shared" si="4"/>
        <v>0.81562262711413569</v>
      </c>
      <c r="G30"/>
      <c r="H30" s="11">
        <f t="shared" si="1"/>
        <v>2019</v>
      </c>
      <c r="I30" s="12">
        <f t="shared" si="2"/>
        <v>0.81562262711413569</v>
      </c>
      <c r="J30" s="1"/>
      <c r="K30" s="1"/>
      <c r="L30" s="1"/>
    </row>
    <row r="31" spans="1:12" x14ac:dyDescent="0.75">
      <c r="A31" s="2">
        <f t="shared" si="3"/>
        <v>2020</v>
      </c>
      <c r="B31" s="1">
        <v>6.9007672694492497</v>
      </c>
      <c r="C31" s="1">
        <v>118.69050157719801</v>
      </c>
      <c r="D31" s="1">
        <v>128.109443605623</v>
      </c>
      <c r="E31" s="1">
        <f t="shared" si="0"/>
        <v>6.3934047750597864</v>
      </c>
      <c r="F31" s="8">
        <f t="shared" si="4"/>
        <v>0.80529018789978268</v>
      </c>
      <c r="G31"/>
      <c r="H31" s="11">
        <f t="shared" si="1"/>
        <v>2020</v>
      </c>
      <c r="I31" s="12">
        <f t="shared" si="2"/>
        <v>0.80529018789978268</v>
      </c>
      <c r="J31" s="1"/>
      <c r="K31" s="1"/>
      <c r="L31" s="1"/>
    </row>
    <row r="32" spans="1:12" x14ac:dyDescent="0.75">
      <c r="A32" s="2">
        <f t="shared" si="3"/>
        <v>2021</v>
      </c>
      <c r="B32" s="1">
        <v>6.4489751802431599</v>
      </c>
      <c r="C32" s="1">
        <v>124.266413825838</v>
      </c>
      <c r="D32" s="1">
        <v>129.366216637457</v>
      </c>
      <c r="E32" s="1">
        <f t="shared" si="0"/>
        <v>6.1947472789323115</v>
      </c>
      <c r="F32" s="8">
        <f t="shared" si="4"/>
        <v>0.78026800675957808</v>
      </c>
      <c r="H32" s="11">
        <f t="shared" si="1"/>
        <v>2021</v>
      </c>
      <c r="I32" s="12">
        <f t="shared" si="2"/>
        <v>0.78026800675957808</v>
      </c>
    </row>
    <row r="33" spans="1:9" x14ac:dyDescent="0.75">
      <c r="A33" s="2">
        <f t="shared" si="3"/>
        <v>2022</v>
      </c>
      <c r="B33" s="1">
        <v>6.7371581123711897</v>
      </c>
      <c r="C33" s="1">
        <v>134.21120616846</v>
      </c>
      <c r="D33" s="1">
        <v>131.91935666853499</v>
      </c>
      <c r="E33" s="1">
        <f t="shared" si="0"/>
        <v>6.8542035016202449</v>
      </c>
      <c r="F33" s="8">
        <f t="shared" si="4"/>
        <v>0.86333073220309287</v>
      </c>
      <c r="H33" s="11">
        <f t="shared" si="1"/>
        <v>2022</v>
      </c>
      <c r="I33" s="12">
        <f t="shared" si="2"/>
        <v>0.86333073220309287</v>
      </c>
    </row>
    <row r="34" spans="1:9" x14ac:dyDescent="0.75">
      <c r="A34" s="2">
        <f t="shared" si="3"/>
        <v>2023</v>
      </c>
      <c r="B34" s="1">
        <v>7.0839984234363103</v>
      </c>
      <c r="C34" s="1">
        <v>139.73579356325999</v>
      </c>
      <c r="D34" s="1">
        <v>132.229151902431</v>
      </c>
      <c r="E34" s="1">
        <f t="shared" si="0"/>
        <v>7.486156623239725</v>
      </c>
      <c r="F34" s="8">
        <f t="shared" si="4"/>
        <v>0.94292926631092999</v>
      </c>
      <c r="H34" s="11">
        <f t="shared" si="1"/>
        <v>2023</v>
      </c>
      <c r="I34" s="12">
        <f t="shared" si="2"/>
        <v>0.94292926631092999</v>
      </c>
    </row>
    <row r="35" spans="1:9" x14ac:dyDescent="0.75">
      <c r="A35" s="2">
        <f t="shared" si="3"/>
        <v>2024</v>
      </c>
      <c r="B35" s="1">
        <v>7.2</v>
      </c>
      <c r="C35">
        <v>143.86000000000001</v>
      </c>
      <c r="D35">
        <v>132.52000000000001</v>
      </c>
      <c r="E35" s="1">
        <f t="shared" si="0"/>
        <v>7.8161183217627537</v>
      </c>
      <c r="F35" s="8">
        <f t="shared" si="4"/>
        <v>0.98449005083060814</v>
      </c>
      <c r="H35" s="11">
        <f t="shared" si="1"/>
        <v>2024</v>
      </c>
      <c r="I35" s="12">
        <f t="shared" si="2"/>
        <v>0.98449005083060814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US-China 1990-2020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Quadrini, Vincenzo</cp:lastModifiedBy>
  <cp:revision/>
  <dcterms:created xsi:type="dcterms:W3CDTF">2021-04-19T15:05:40Z</dcterms:created>
  <dcterms:modified xsi:type="dcterms:W3CDTF">2025-11-20T16:18:42Z</dcterms:modified>
  <cp:category/>
  <cp:contentStatus/>
</cp:coreProperties>
</file>